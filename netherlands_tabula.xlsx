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ito\Downloads\"/>
    </mc:Choice>
  </mc:AlternateContent>
  <xr:revisionPtr revIDLastSave="0" documentId="13_ncr:1_{008E5A4A-266B-474A-9689-8DF431B08F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herlan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D25" i="2"/>
  <c r="E25" i="2"/>
  <c r="B25" i="2"/>
  <c r="E19" i="2"/>
  <c r="B19" i="2"/>
  <c r="E13" i="2"/>
  <c r="B13" i="2"/>
  <c r="E7" i="2"/>
  <c r="B7" i="2"/>
  <c r="E24" i="2"/>
  <c r="D24" i="2"/>
  <c r="E23" i="2"/>
  <c r="E22" i="2"/>
  <c r="E21" i="2"/>
  <c r="E20" i="2"/>
  <c r="E18" i="2"/>
  <c r="D18" i="2"/>
  <c r="E17" i="2"/>
</calcChain>
</file>

<file path=xl/sharedStrings.xml><?xml version="1.0" encoding="utf-8"?>
<sst xmlns="http://schemas.openxmlformats.org/spreadsheetml/2006/main" count="29" uniqueCount="29">
  <si>
    <t>tabula_type</t>
  </si>
  <si>
    <t>Usual refurbishment</t>
  </si>
  <si>
    <t>advanced refurbishment</t>
  </si>
  <si>
    <t>domestic hot water system</t>
  </si>
  <si>
    <t>existing state (Heating)</t>
  </si>
  <si>
    <t>NL.N.SFH.01</t>
  </si>
  <si>
    <t>NL.N.SFH.02</t>
  </si>
  <si>
    <t>NL.N.SFH.03</t>
  </si>
  <si>
    <t>NL.N.SFH.04</t>
  </si>
  <si>
    <t>NL.N.SFH.05</t>
  </si>
  <si>
    <t>NL.N.SFH.06</t>
  </si>
  <si>
    <t>NL.N.TH.01</t>
  </si>
  <si>
    <t>NL.N.TH.02</t>
  </si>
  <si>
    <t>NL.N.TH.03</t>
  </si>
  <si>
    <t>NL.N.TH.04</t>
  </si>
  <si>
    <t>NL.N.TH.05</t>
  </si>
  <si>
    <t>NL.N.TH.06</t>
  </si>
  <si>
    <t>NL.N.MFH.01</t>
  </si>
  <si>
    <t>NL.N.MFH.02</t>
  </si>
  <si>
    <t>NL.N.MFH.03</t>
  </si>
  <si>
    <t>NL.N.MFH.04</t>
  </si>
  <si>
    <t>NL.N.MFH.05</t>
  </si>
  <si>
    <t>NL.N.MFH.06</t>
  </si>
  <si>
    <t>NL.N.AB.01</t>
  </si>
  <si>
    <t>NL.N.AB.02</t>
  </si>
  <si>
    <t>NL.N.AB.03</t>
  </si>
  <si>
    <t>NL.N.AB.04</t>
  </si>
  <si>
    <t>NL.N.AB.05</t>
  </si>
  <si>
    <t>NL.N.AB.06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</si>
</sst>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C343-3F90-4DC9-86D0-34E64AC4668E}">
  <dimension ref="A1:E25"/>
  <sheetViews>
    <sheetView tabSelected="1" zoomScale="87" workbookViewId="0">
      <selection activeCell="G15" sqref="G15"/>
    </sheetView>
  </sheetViews>
  <sheetFormatPr defaultRowHeight="14.4" x14ac:dyDescent="0.3"/>
  <cols>
    <col min="1" max="1" width="15.109375" bestFit="1" customWidth="1"/>
    <col min="2" max="2" width="20.33203125" bestFit="1" customWidth="1"/>
    <col min="3" max="3" width="23.88671875" bestFit="1" customWidth="1"/>
    <col min="4" max="4" width="18.33203125" bestFit="1" customWidth="1"/>
    <col min="5" max="5" width="22" bestFit="1" customWidth="1"/>
  </cols>
  <sheetData>
    <row r="1" spans="1:5" x14ac:dyDescent="0.3">
      <c r="A1" s="1" t="s">
        <v>0</v>
      </c>
      <c r="B1" s="1" t="s">
        <v>4</v>
      </c>
      <c r="C1" s="2" t="s">
        <v>3</v>
      </c>
      <c r="D1" s="1" t="s">
        <v>1</v>
      </c>
      <c r="E1" s="1" t="s">
        <v>2</v>
      </c>
    </row>
    <row r="2" spans="1:5" x14ac:dyDescent="0.3">
      <c r="A2" t="s">
        <v>5</v>
      </c>
      <c r="B2">
        <v>166.1</v>
      </c>
      <c r="C2">
        <v>10</v>
      </c>
      <c r="D2">
        <v>71.099999999999994</v>
      </c>
      <c r="E2">
        <v>48</v>
      </c>
    </row>
    <row r="3" spans="1:5" x14ac:dyDescent="0.3">
      <c r="A3" t="s">
        <v>6</v>
      </c>
      <c r="B3">
        <v>141.1</v>
      </c>
      <c r="C3">
        <v>10</v>
      </c>
      <c r="D3">
        <v>66.3</v>
      </c>
      <c r="E3">
        <v>42.1</v>
      </c>
    </row>
    <row r="4" spans="1:5" x14ac:dyDescent="0.3">
      <c r="A4" t="s">
        <v>7</v>
      </c>
      <c r="B4">
        <v>103.8</v>
      </c>
      <c r="C4">
        <v>10</v>
      </c>
      <c r="D4">
        <v>63.2</v>
      </c>
      <c r="E4">
        <v>24</v>
      </c>
    </row>
    <row r="5" spans="1:5" x14ac:dyDescent="0.3">
      <c r="A5" t="s">
        <v>8</v>
      </c>
      <c r="B5">
        <v>83.2</v>
      </c>
      <c r="C5">
        <v>10</v>
      </c>
      <c r="D5">
        <v>62.3</v>
      </c>
      <c r="E5">
        <v>24</v>
      </c>
    </row>
    <row r="6" spans="1:5" x14ac:dyDescent="0.3">
      <c r="A6" t="s">
        <v>9</v>
      </c>
      <c r="B6">
        <v>68.5</v>
      </c>
      <c r="C6">
        <v>10</v>
      </c>
      <c r="D6">
        <v>63.2</v>
      </c>
      <c r="E6">
        <v>23.5</v>
      </c>
    </row>
    <row r="7" spans="1:5" x14ac:dyDescent="0.3">
      <c r="A7" t="s">
        <v>10</v>
      </c>
      <c r="B7">
        <f>35.5+33.3</f>
        <v>68.8</v>
      </c>
      <c r="C7">
        <v>10</v>
      </c>
      <c r="D7">
        <v>63.2</v>
      </c>
      <c r="E7">
        <f>12.3+23.4</f>
        <v>35.700000000000003</v>
      </c>
    </row>
    <row r="8" spans="1:5" x14ac:dyDescent="0.3">
      <c r="A8" t="s">
        <v>11</v>
      </c>
      <c r="B8">
        <v>156.69999999999999</v>
      </c>
      <c r="C8">
        <v>10</v>
      </c>
      <c r="D8">
        <v>63.6</v>
      </c>
      <c r="E8">
        <v>40.1</v>
      </c>
    </row>
    <row r="9" spans="1:5" x14ac:dyDescent="0.3">
      <c r="A9" t="s">
        <v>12</v>
      </c>
      <c r="B9">
        <v>122.5</v>
      </c>
      <c r="C9">
        <v>10</v>
      </c>
      <c r="D9">
        <v>61.6</v>
      </c>
      <c r="E9">
        <v>37.1</v>
      </c>
    </row>
    <row r="10" spans="1:5" x14ac:dyDescent="0.3">
      <c r="A10" t="s">
        <v>13</v>
      </c>
      <c r="B10">
        <v>95.6</v>
      </c>
      <c r="C10">
        <v>10</v>
      </c>
      <c r="D10">
        <v>58.3</v>
      </c>
      <c r="E10">
        <v>35.5</v>
      </c>
    </row>
    <row r="11" spans="1:5" x14ac:dyDescent="0.3">
      <c r="A11" t="s">
        <v>14</v>
      </c>
      <c r="B11">
        <v>69.400000000000006</v>
      </c>
      <c r="C11">
        <v>10</v>
      </c>
      <c r="D11">
        <v>55.6</v>
      </c>
      <c r="E11">
        <v>33.5</v>
      </c>
    </row>
    <row r="12" spans="1:5" x14ac:dyDescent="0.3">
      <c r="A12" t="s">
        <v>15</v>
      </c>
      <c r="B12">
        <v>59.4</v>
      </c>
      <c r="C12">
        <v>10</v>
      </c>
      <c r="D12">
        <v>56.1</v>
      </c>
      <c r="E12">
        <v>31</v>
      </c>
    </row>
    <row r="13" spans="1:5" x14ac:dyDescent="0.3">
      <c r="A13" t="s">
        <v>16</v>
      </c>
      <c r="B13">
        <f>26.2+34.1</f>
        <v>60.3</v>
      </c>
      <c r="C13">
        <v>10</v>
      </c>
      <c r="D13">
        <v>56.1</v>
      </c>
      <c r="E13">
        <f>7.8+22.5</f>
        <v>30.3</v>
      </c>
    </row>
    <row r="14" spans="1:5" x14ac:dyDescent="0.3">
      <c r="A14" t="s">
        <v>17</v>
      </c>
      <c r="B14">
        <v>127.8</v>
      </c>
      <c r="C14">
        <v>15</v>
      </c>
      <c r="D14">
        <v>60</v>
      </c>
      <c r="E14">
        <v>33.5</v>
      </c>
    </row>
    <row r="15" spans="1:5" x14ac:dyDescent="0.3">
      <c r="A15" t="s">
        <v>18</v>
      </c>
      <c r="B15">
        <v>104.2</v>
      </c>
      <c r="C15">
        <v>15</v>
      </c>
      <c r="D15">
        <v>55.7</v>
      </c>
      <c r="E15">
        <v>31.9</v>
      </c>
    </row>
    <row r="16" spans="1:5" x14ac:dyDescent="0.3">
      <c r="A16" t="s">
        <v>19</v>
      </c>
      <c r="B16">
        <v>91.7</v>
      </c>
      <c r="C16">
        <v>15</v>
      </c>
      <c r="D16">
        <v>55.9</v>
      </c>
      <c r="E16">
        <v>33.799999999999997</v>
      </c>
    </row>
    <row r="17" spans="1:5" x14ac:dyDescent="0.3">
      <c r="A17" t="s">
        <v>20</v>
      </c>
      <c r="B17">
        <v>67</v>
      </c>
      <c r="C17">
        <v>15</v>
      </c>
      <c r="D17">
        <v>54</v>
      </c>
      <c r="E17">
        <f>22.5+9.3</f>
        <v>31.8</v>
      </c>
    </row>
    <row r="18" spans="1:5" x14ac:dyDescent="0.3">
      <c r="A18" t="s">
        <v>21</v>
      </c>
      <c r="B18">
        <v>56.5</v>
      </c>
      <c r="C18">
        <v>15</v>
      </c>
      <c r="D18">
        <f>21.7+33.3</f>
        <v>55</v>
      </c>
      <c r="E18">
        <f>6.7+21.3</f>
        <v>28</v>
      </c>
    </row>
    <row r="19" spans="1:5" x14ac:dyDescent="0.3">
      <c r="A19" t="s">
        <v>22</v>
      </c>
      <c r="B19">
        <f>24.6+33.6</f>
        <v>58.2</v>
      </c>
      <c r="C19">
        <v>15</v>
      </c>
      <c r="D19">
        <f>21.7+33.3</f>
        <v>55</v>
      </c>
      <c r="E19">
        <f>6.5+21.1</f>
        <v>27.6</v>
      </c>
    </row>
    <row r="20" spans="1:5" x14ac:dyDescent="0.3">
      <c r="A20" t="s">
        <v>23</v>
      </c>
      <c r="B20">
        <v>128.30000000000001</v>
      </c>
      <c r="C20">
        <v>15</v>
      </c>
      <c r="D20">
        <v>62.2</v>
      </c>
      <c r="E20">
        <f>14.1+23.4</f>
        <v>37.5</v>
      </c>
    </row>
    <row r="21" spans="1:5" x14ac:dyDescent="0.3">
      <c r="A21" t="s">
        <v>24</v>
      </c>
      <c r="B21">
        <v>103.7</v>
      </c>
      <c r="C21">
        <v>15</v>
      </c>
      <c r="D21">
        <v>56.9</v>
      </c>
      <c r="E21">
        <f>22.3+9.7</f>
        <v>32</v>
      </c>
    </row>
    <row r="22" spans="1:5" x14ac:dyDescent="0.3">
      <c r="A22" t="s">
        <v>25</v>
      </c>
      <c r="B22">
        <v>90.8</v>
      </c>
      <c r="C22">
        <v>15</v>
      </c>
      <c r="D22">
        <v>56.9</v>
      </c>
      <c r="E22">
        <f>11.8+23.3</f>
        <v>35.1</v>
      </c>
    </row>
    <row r="23" spans="1:5" x14ac:dyDescent="0.3">
      <c r="A23" t="s">
        <v>26</v>
      </c>
      <c r="B23">
        <v>65.3</v>
      </c>
      <c r="C23">
        <v>15</v>
      </c>
      <c r="D23">
        <v>53.1</v>
      </c>
      <c r="E23">
        <f>22.2+8.6</f>
        <v>30.799999999999997</v>
      </c>
    </row>
    <row r="24" spans="1:5" x14ac:dyDescent="0.3">
      <c r="A24" t="s">
        <v>27</v>
      </c>
      <c r="B24">
        <v>57.8</v>
      </c>
      <c r="C24">
        <v>15</v>
      </c>
      <c r="D24">
        <f>20.8+33.4</f>
        <v>54.2</v>
      </c>
      <c r="E24">
        <f>7.7+21.9</f>
        <v>29.599999999999998</v>
      </c>
    </row>
    <row r="25" spans="1:5" x14ac:dyDescent="0.3">
      <c r="A25" t="s">
        <v>28</v>
      </c>
      <c r="B25">
        <f>25.3+33.8</f>
        <v>59.099999999999994</v>
      </c>
      <c r="C25">
        <v>15</v>
      </c>
      <c r="D25">
        <f>20.8+33.4</f>
        <v>54.2</v>
      </c>
      <c r="E25">
        <f>21.7+7.4</f>
        <v>29.1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Netherlands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Rahman Zaitoun</cp:lastModifiedBy>
  <dcterms:created xsi:type="dcterms:W3CDTF">2026-03-13T13:46:27Z</dcterms:created>
  <dcterms:modified xsi:type="dcterms:W3CDTF">2026-07-08T22:05:34Z</dcterms:modified>
</cp:coreProperties>
</file>